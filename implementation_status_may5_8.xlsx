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tus (DE)" sheetId="1" state="visible" r:id="rId3"/>
    <sheet name="Status (EN)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<sst xmlns="http://schemas.openxmlformats.org/spreadsheetml/2006/main" count="430" uniqueCount="242">
  <si>
    <t xml:space="preserve">Implementierungsstatus — Priya's Reinigungsservice</t>
  </si>
  <si>
    <t xml:space="preserve">Zeitraum: 5. Mai 2026 – 8. Mai 2026 · Stand: 9. Mai 2026</t>
  </si>
  <si>
    <t xml:space="preserve">Datum</t>
  </si>
  <si>
    <t xml:space="preserve">Modul</t>
  </si>
  <si>
    <t xml:space="preserve">Funktion</t>
  </si>
  <si>
    <t xml:space="preserve">Beschreibung</t>
  </si>
  <si>
    <t xml:space="preserve">Status</t>
  </si>
  <si>
    <t xml:space="preserve">Fortschritt</t>
  </si>
  <si>
    <t xml:space="preserve">Dateien</t>
  </si>
  <si>
    <t xml:space="preserve">Notizen</t>
  </si>
  <si>
    <t xml:space="preserve">2026-05-05</t>
  </si>
  <si>
    <t xml:space="preserve">Audit</t>
  </si>
  <si>
    <t xml:space="preserve">Anforderungs-Audit</t>
  </si>
  <si>
    <t xml:space="preserve">Vollständige Bewertung von 78 Anforderungen aus dem Lastenheft v1.0</t>
  </si>
  <si>
    <t xml:space="preserve">Erledigt</t>
  </si>
  <si>
    <t xml:space="preserve">AUDIT_REPORT.md</t>
  </si>
  <si>
    <t xml:space="preserve">Tier 0/1/2/3/4 Plan abgeleitet</t>
  </si>
  <si>
    <t xml:space="preserve">Sicherheit</t>
  </si>
  <si>
    <t xml:space="preserve">Selbstrollen-Schutz</t>
  </si>
  <si>
    <t xml:space="preserve">BEFORE-UPDATE Trigger verhindert Eigenbeförderung in profiles</t>
  </si>
  <si>
    <t xml:space="preserve">supabase/migrations/20260506_000024_lock_profile_self_role.sql</t>
  </si>
  <si>
    <t xml:space="preserve">Idempotent, RLS-konform</t>
  </si>
  <si>
    <t xml:space="preserve">Schulungen</t>
  </si>
  <si>
    <t xml:space="preserve">Inline-Signaturen</t>
  </si>
  <si>
    <t xml:space="preserve">signature_svg-Spalte mit 64 KB CHECK-Constraint</t>
  </si>
  <si>
    <t xml:space="preserve">supabase/migrations/20260506_000025_training_signature_inline.sql</t>
  </si>
  <si>
    <t xml:space="preserve">Ersetzt Storage-Roundtrip</t>
  </si>
  <si>
    <t xml:space="preserve">i18n</t>
  </si>
  <si>
    <t xml:space="preserve">Login + Registrierung übersetzt</t>
  </si>
  <si>
    <t xml:space="preserve">Login-, Registrierungs-, Onboarding-Flows DE/EN/TA aktiv</t>
  </si>
  <si>
    <t xml:space="preserve">src/app/(auth)/**, messages/*.json</t>
  </si>
  <si>
    <t xml:space="preserve">alle Texte ohne Hardcodes</t>
  </si>
  <si>
    <t xml:space="preserve">Dashboard</t>
  </si>
  <si>
    <t xml:space="preserve">Sidebar-Echtzeitzähler</t>
  </si>
  <si>
    <t xml:space="preserve">loadSidebarCounts() — echte Zahlen incl. ungelesene Chats</t>
  </si>
  <si>
    <t xml:space="preserve">src/lib/api/sidebar.ts</t>
  </si>
  <si>
    <t xml:space="preserve">ersetzt Mock-Defaults</t>
  </si>
  <si>
    <t xml:space="preserve">2026-05-06</t>
  </si>
  <si>
    <t xml:space="preserve">Schulungs-Realtime</t>
  </si>
  <si>
    <t xml:space="preserve">Schulungstabellen zur Supabase-Realtime-Publikation hinzugefügt</t>
  </si>
  <si>
    <t xml:space="preserve">supabase/migrations/20260507_000026_training_realtime.sql</t>
  </si>
  <si>
    <t xml:space="preserve">useTrainingRealtime Hook angeschlossen</t>
  </si>
  <si>
    <t xml:space="preserve">Mitarbeiter</t>
  </si>
  <si>
    <t xml:space="preserve">Profile→Mitarbeiter Verknüpfung</t>
  </si>
  <si>
    <t xml:space="preserve">handle_new_user() legt employees-Zeile an + Backfill</t>
  </si>
  <si>
    <t xml:space="preserve">supabase/migrations/20260507_000027_employees_from_profiles.sql</t>
  </si>
  <si>
    <t xml:space="preserve">Behebt 0/3 sichtbare Mitarbeiter</t>
  </si>
  <si>
    <t xml:space="preserve">Einladungs-Link Trigger</t>
  </si>
  <si>
    <t xml:space="preserve">Trigger verknüpft per E-Mail beim Annehmen der Einladung</t>
  </si>
  <si>
    <t xml:space="preserve">supabase/migrations/20260507_000028_employee_invite_link.sql</t>
  </si>
  <si>
    <t xml:space="preserve">Platzhalter→echtes Profil</t>
  </si>
  <si>
    <t xml:space="preserve">Admin-Einladung</t>
  </si>
  <si>
    <t xml:space="preserve">createEmployeeAction nutzt supabase.auth.admin.inviteUserByEmail</t>
  </si>
  <si>
    <t xml:space="preserve">src/app/actions/employees.ts</t>
  </si>
  <si>
    <t xml:space="preserve">inviteStatus zurückgegeben</t>
  </si>
  <si>
    <t xml:space="preserve">Echte Rollen-Chips</t>
  </si>
  <si>
    <t xml:space="preserve">chipFromProfileRole(role, hasMandatory) ersetzt Mock</t>
  </si>
  <si>
    <t xml:space="preserve">src/lib/api/employees.ts</t>
  </si>
  <si>
    <t xml:space="preserve">pm/field/trainee + ausstehende Pflichtschulungen</t>
  </si>
  <si>
    <t xml:space="preserve">Zuweisungspicker repariert</t>
  </si>
  <si>
    <t xml:space="preserve">status='active' Filter entfernt → 32 Mitarbeiter sichtbar</t>
  </si>
  <si>
    <t xml:space="preserve">src/lib/api/training.ts</t>
  </si>
  <si>
    <t xml:space="preserve">Status-Badges ergänzt</t>
  </si>
  <si>
    <t xml:space="preserve">Benachrichtigungen</t>
  </si>
  <si>
    <t xml:space="preserve">Push + In-App</t>
  </si>
  <si>
    <t xml:space="preserve">emitNotification beim Zuweisen + WebPush Fan-out</t>
  </si>
  <si>
    <t xml:space="preserve">src/lib/notifications/*.ts</t>
  </si>
  <si>
    <t xml:space="preserve">VAPID Keys benötigt</t>
  </si>
  <si>
    <t xml:space="preserve">2026-05-07</t>
  </si>
  <si>
    <t xml:space="preserve">Chat</t>
  </si>
  <si>
    <t xml:space="preserve">Optimistisch+Realtime Dedup</t>
  </si>
  <si>
    <t xml:space="preserve">replace(tempId, real) im useMessages-Cache</t>
  </si>
  <si>
    <t xml:space="preserve">src/hooks/chat/useMessages.ts, useSendMessage.ts</t>
  </si>
  <si>
    <t xml:space="preserve">behebt Doppel-Anzeige</t>
  </si>
  <si>
    <t xml:space="preserve">Video-Anhänge</t>
  </si>
  <si>
    <t xml:space="preserve">Video-Vorschau im Composer + Bubble</t>
  </si>
  <si>
    <t xml:space="preserve">src/components/chat/Composer.tsx, MessageBubble.tsx</t>
  </si>
  <si>
    <t xml:space="preserve">neuer kind: video</t>
  </si>
  <si>
    <t xml:space="preserve">Echte Avatare</t>
  </si>
  <si>
    <t xml:space="preserve">computeInitials() mit \p{L} Unicode + grüne DM-Töne</t>
  </si>
  <si>
    <t xml:space="preserve">src/components/chat/MessageBubble.tsx, ChatThread.tsx</t>
  </si>
  <si>
    <t xml:space="preserve">kein '—' mehr</t>
  </si>
  <si>
    <t xml:space="preserve">Format-Helper kanonisch</t>
  </si>
  <si>
    <t xml:space="preserve">useFormat() Hook + asAppLocale + formatDate/Currency</t>
  </si>
  <si>
    <t xml:space="preserve">src/lib/utils/i18n-format.ts</t>
  </si>
  <si>
    <t xml:space="preserve">ersetzt 15+ Hardcodes</t>
  </si>
  <si>
    <t xml:space="preserve">Locale-Sweep der Komponenten</t>
  </si>
  <si>
    <t xml:space="preserve">15+ Komponenten auf useFormat() migriert</t>
  </si>
  <si>
    <t xml:space="preserve">src/components/**</t>
  </si>
  <si>
    <t xml:space="preserve">kein englischer Datums-Leak in DE</t>
  </si>
  <si>
    <t xml:space="preserve">Echte Aktivitäts-Feeds</t>
  </si>
  <si>
    <t xml:space="preserve">loadDashboard joins profiles + RecentActivity übersetzt</t>
  </si>
  <si>
    <t xml:space="preserve">src/lib/api/dashboard.ts, RecentActivity.tsx</t>
  </si>
  <si>
    <t xml:space="preserve">Mock-Aktor entfernt</t>
  </si>
  <si>
    <t xml:space="preserve">Team-Auslastung echt</t>
  </si>
  <si>
    <t xml:space="preserve">TeamLoad.role aus profiles, sortiert nach pct desc</t>
  </si>
  <si>
    <t xml:space="preserve">src/lib/api/dashboard.ts, TeamUtilization.tsx</t>
  </si>
  <si>
    <t xml:space="preserve">employees.role.* Übersetzungen</t>
  </si>
  <si>
    <t xml:space="preserve">2026-05-08</t>
  </si>
  <si>
    <t xml:space="preserve">Berichte</t>
  </si>
  <si>
    <t xml:space="preserve">PDF: Zufriedenheit</t>
  </si>
  <si>
    <t xml:space="preserve">renderSatisfaction() für Reports-PDF</t>
  </si>
  <si>
    <t xml:space="preserve">src/lib/pdf/reports-pdf.ts</t>
  </si>
  <si>
    <t xml:space="preserve">NPS + Bewertungen</t>
  </si>
  <si>
    <t xml:space="preserve">PDF: Offene Rechnungen</t>
  </si>
  <si>
    <t xml:space="preserve">renderOpenInvoices() mit Tagen Überfälligkeit</t>
  </si>
  <si>
    <t xml:space="preserve">src/lib/pdf/reports-pdf.ts, src/app/api/reports/export/route.ts</t>
  </si>
  <si>
    <t xml:space="preserve">lädt echte Rechnungsliste</t>
  </si>
  <si>
    <t xml:space="preserve">Alltagshilfe-PDF</t>
  </si>
  <si>
    <t xml:space="preserve">Mehrseitiger Renderer mit addPage() pro Kunde</t>
  </si>
  <si>
    <t xml:space="preserve">src/lib/pdf/alltagshilfe-pdf.ts</t>
  </si>
  <si>
    <t xml:space="preserve">Krankenkassen-Abrechnung</t>
  </si>
  <si>
    <t xml:space="preserve">API</t>
  </si>
  <si>
    <t xml:space="preserve">CSV-Export Endpunkte</t>
  </si>
  <si>
    <t xml:space="preserve">/api/clients, /api/invoices, /api/employees ?format=csv</t>
  </si>
  <si>
    <t xml:space="preserve">src/app/api/{clients,invoices,employees}/route.ts</t>
  </si>
  <si>
    <t xml:space="preserve">csvEscape Helper</t>
  </si>
  <si>
    <t xml:space="preserve">Aufräumen</t>
  </si>
  <si>
    <t xml:space="preserve">Tote Buttons entfernt</t>
  </si>
  <si>
    <t xml:space="preserve">ClientDetail/InvoicesPage Buttons deaktiviert mit Tooltip</t>
  </si>
  <si>
    <t xml:space="preserve">src/components/clients/ClientDetail.tsx, InvoicesPage.tsx</t>
  </si>
  <si>
    <t xml:space="preserve">Coming-soon DE/EN/TA</t>
  </si>
  <si>
    <t xml:space="preserve">Qualität</t>
  </si>
  <si>
    <t xml:space="preserve">Final-Recheck</t>
  </si>
  <si>
    <t xml:space="preserve">tsc, next lint, next build — 37/37 Seiten grün</t>
  </si>
  <si>
    <t xml:space="preserve">—</t>
  </si>
  <si>
    <t xml:space="preserve">0 Fehler, 0 Warnungen</t>
  </si>
  <si>
    <t xml:space="preserve">Tier 3</t>
  </si>
  <si>
    <t xml:space="preserve">REST API v1 + OpenAPI</t>
  </si>
  <si>
    <t xml:space="preserve">/api/v1 mit OpenAPI 3.0 Spezifikation</t>
  </si>
  <si>
    <t xml:space="preserve">Geplant</t>
  </si>
  <si>
    <t xml:space="preserve">Nach Stabilisierung</t>
  </si>
  <si>
    <t xml:space="preserve">Offline-PWA-Cache</t>
  </si>
  <si>
    <t xml:space="preserve">next-pwa für echten Offline-Modus</t>
  </si>
  <si>
    <t xml:space="preserve">Service Worker</t>
  </si>
  <si>
    <t xml:space="preserve">Lexware Auto-Rechnung</t>
  </si>
  <si>
    <t xml:space="preserve">Monatlicher Cron erzeugt Lexware-Rechnungen</t>
  </si>
  <si>
    <t xml:space="preserve">Twilio + Lexware Creds</t>
  </si>
  <si>
    <t xml:space="preserve">Betrieb</t>
  </si>
  <si>
    <t xml:space="preserve">VAPID + Backups + Uptime</t>
  </si>
  <si>
    <t xml:space="preserve">Prod-Konfiguration für Push, Backups, Monitoring</t>
  </si>
  <si>
    <t xml:space="preserve">In Arbeit</t>
  </si>
  <si>
    <t xml:space="preserve">GitHub Secrets ausstehend</t>
  </si>
  <si>
    <t xml:space="preserve">Gesamt</t>
  </si>
  <si>
    <t xml:space="preserve">Implementation Status — Priya's Cleaning Service</t>
  </si>
  <si>
    <t xml:space="preserve">Period: May 5, 2026 – May 8, 2026 · As of: May 9, 2026</t>
  </si>
  <si>
    <t xml:space="preserve">Date</t>
  </si>
  <si>
    <t xml:space="preserve">Module</t>
  </si>
  <si>
    <t xml:space="preserve">Feature</t>
  </si>
  <si>
    <t xml:space="preserve">Description</t>
  </si>
  <si>
    <t xml:space="preserve">Progress</t>
  </si>
  <si>
    <t xml:space="preserve">Files</t>
  </si>
  <si>
    <t xml:space="preserve">Notes</t>
  </si>
  <si>
    <t xml:space="preserve">Requirements audit</t>
  </si>
  <si>
    <t xml:space="preserve">Full assessment of 78 requirements from spec v1.0</t>
  </si>
  <si>
    <t xml:space="preserve">Done</t>
  </si>
  <si>
    <t xml:space="preserve">Tier 0/1/2/3/4 plan derived</t>
  </si>
  <si>
    <t xml:space="preserve">Self-role lock trigger</t>
  </si>
  <si>
    <t xml:space="preserve">BEFORE-UPDATE trigger blocks self-promotion on profiles</t>
  </si>
  <si>
    <t xml:space="preserve">Idempotent, RLS-aligned</t>
  </si>
  <si>
    <t xml:space="preserve">Inline training signatures</t>
  </si>
  <si>
    <t xml:space="preserve">signature_svg column with 64 KB CHECK constraint</t>
  </si>
  <si>
    <t xml:space="preserve">Replaces storage round-trip</t>
  </si>
  <si>
    <t xml:space="preserve">Auth pages translated</t>
  </si>
  <si>
    <t xml:space="preserve">Login, register, onboarding flows DE/EN/TA active</t>
  </si>
  <si>
    <t xml:space="preserve">all strings out of hardcodes</t>
  </si>
  <si>
    <t xml:space="preserve">Sidebar realtime counts</t>
  </si>
  <si>
    <t xml:space="preserve">loadSidebarCounts() — real counts incl. unread chats</t>
  </si>
  <si>
    <t xml:space="preserve">replaces mock defaults</t>
  </si>
  <si>
    <t xml:space="preserve">Training realtime publication</t>
  </si>
  <si>
    <t xml:space="preserve">Training tables added to supabase_realtime publication</t>
  </si>
  <si>
    <t xml:space="preserve">useTrainingRealtime hook wired</t>
  </si>
  <si>
    <t xml:space="preserve">Profiles→employees link</t>
  </si>
  <si>
    <t xml:space="preserve">handle_new_user() inserts employees row + backfill</t>
  </si>
  <si>
    <t xml:space="preserve">Fixes 0/3 visible employees</t>
  </si>
  <si>
    <t xml:space="preserve">Invite link trigger</t>
  </si>
  <si>
    <t xml:space="preserve">Trigger links by email when invite is accepted</t>
  </si>
  <si>
    <t xml:space="preserve">placeholder→real profile</t>
  </si>
  <si>
    <t xml:space="preserve">Admin invite flow</t>
  </si>
  <si>
    <t xml:space="preserve">createEmployeeAction uses supabase.auth.admin.inviteUserByEmail</t>
  </si>
  <si>
    <t xml:space="preserve">inviteStatus returned</t>
  </si>
  <si>
    <t xml:space="preserve">Real role chips</t>
  </si>
  <si>
    <t xml:space="preserve">chipFromProfileRole(role, hasMandatory) replaces mock</t>
  </si>
  <si>
    <t xml:space="preserve">pm/field/trainee + outstanding mandatory training</t>
  </si>
  <si>
    <t xml:space="preserve">Assignment picker fix</t>
  </si>
  <si>
    <t xml:space="preserve">status='active' filter removed → 32 employees visible</t>
  </si>
  <si>
    <t xml:space="preserve">Status badges added</t>
  </si>
  <si>
    <t xml:space="preserve">Push + in-app notifications</t>
  </si>
  <si>
    <t xml:space="preserve">emitNotification on assign + WebPush fan-out</t>
  </si>
  <si>
    <t xml:space="preserve">VAPID keys required</t>
  </si>
  <si>
    <t xml:space="preserve">Optimistic+realtime dedup</t>
  </si>
  <si>
    <t xml:space="preserve">replace(tempId, real) in useMessages cache</t>
  </si>
  <si>
    <t xml:space="preserve">fixes duplicate display</t>
  </si>
  <si>
    <t xml:space="preserve">Video attachments</t>
  </si>
  <si>
    <t xml:space="preserve">Video preview in composer + bubble</t>
  </si>
  <si>
    <t xml:space="preserve">new kind: video</t>
  </si>
  <si>
    <t xml:space="preserve">Real avatars</t>
  </si>
  <si>
    <t xml:space="preserve">computeInitials() with \p{L} Unicode + green DM tones</t>
  </si>
  <si>
    <t xml:space="preserve">no more '—'</t>
  </si>
  <si>
    <t xml:space="preserve">Canonical format helpers</t>
  </si>
  <si>
    <t xml:space="preserve">useFormat() hook + asAppLocale + formatDate/currency</t>
  </si>
  <si>
    <t xml:space="preserve">replaces 15+ hardcodes</t>
  </si>
  <si>
    <t xml:space="preserve">Locale sweep across components</t>
  </si>
  <si>
    <t xml:space="preserve">15+ components migrated to useFormat()</t>
  </si>
  <si>
    <t xml:space="preserve">no English date leak in DE</t>
  </si>
  <si>
    <t xml:space="preserve">Real activity feed</t>
  </si>
  <si>
    <t xml:space="preserve">loadDashboard joins profiles + RecentActivity translated</t>
  </si>
  <si>
    <t xml:space="preserve">mock actor removed</t>
  </si>
  <si>
    <t xml:space="preserve">Team utilization real</t>
  </si>
  <si>
    <t xml:space="preserve">TeamLoad.role from profiles, sorted by pct desc</t>
  </si>
  <si>
    <t xml:space="preserve">employees.role.* translations</t>
  </si>
  <si>
    <t xml:space="preserve">PDF: satisfaction report</t>
  </si>
  <si>
    <t xml:space="preserve">renderSatisfaction() for reports PDF</t>
  </si>
  <si>
    <t xml:space="preserve">NPS + reviews</t>
  </si>
  <si>
    <t xml:space="preserve">PDF: open invoices</t>
  </si>
  <si>
    <t xml:space="preserve">renderOpenInvoices() with days-overdue</t>
  </si>
  <si>
    <t xml:space="preserve">loads real invoice list</t>
  </si>
  <si>
    <t xml:space="preserve">Alltagshilfe PDF</t>
  </si>
  <si>
    <t xml:space="preserve">Multi-page renderer with addPage() per client</t>
  </si>
  <si>
    <t xml:space="preserve">health-insurance billing</t>
  </si>
  <si>
    <t xml:space="preserve">CSV export endpoints</t>
  </si>
  <si>
    <t xml:space="preserve">csvEscape helper</t>
  </si>
  <si>
    <t xml:space="preserve">Dead buttons cleaned up</t>
  </si>
  <si>
    <t xml:space="preserve">ClientDetail/InvoicesPage buttons disabled with tooltip</t>
  </si>
  <si>
    <t xml:space="preserve">coming-soon DE/EN/TA</t>
  </si>
  <si>
    <t xml:space="preserve">Final recheck</t>
  </si>
  <si>
    <t xml:space="preserve">tsc, next lint, next build — 37/37 pages green</t>
  </si>
  <si>
    <t xml:space="preserve">0 errors, 0 warnings</t>
  </si>
  <si>
    <t xml:space="preserve">/api/v1 with OpenAPI 3.0 spec</t>
  </si>
  <si>
    <t xml:space="preserve">Planned</t>
  </si>
  <si>
    <t xml:space="preserve">after stabilization</t>
  </si>
  <si>
    <t xml:space="preserve">Offline PWA cache</t>
  </si>
  <si>
    <t xml:space="preserve">next-pwa for real offline mode</t>
  </si>
  <si>
    <t xml:space="preserve">service worker</t>
  </si>
  <si>
    <t xml:space="preserve">Lexware auto-invoice cron</t>
  </si>
  <si>
    <t xml:space="preserve">Monthly cron generates Lexware invoices</t>
  </si>
  <si>
    <t xml:space="preserve">Twilio + Lexware creds</t>
  </si>
  <si>
    <t xml:space="preserve">VAPID + backups + uptime</t>
  </si>
  <si>
    <t xml:space="preserve">Prod config for push, backups, monitoring</t>
  </si>
  <si>
    <t xml:space="preserve">In Progress</t>
  </si>
  <si>
    <t xml:space="preserve">GitHub secrets pending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</si>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</sst>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65F46"/>
      <name val="Arial"/>
      <family val="0"/>
      <charset val="1"/>
    </font>
    <font>
      <b val="true"/>
      <sz val="10"/>
      <color rgb="FF374151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766E"/>
        <bgColor rgb="FF065F46"/>
      </patternFill>
    </fill>
    <fill>
      <patternFill patternType="solid">
        <fgColor rgb="FFD1FAE5"/>
        <bgColor rgb="FFCCFFFF"/>
      </patternFill>
    </fill>
    <fill>
      <patternFill patternType="solid">
        <fgColor rgb="FFE5E7EB"/>
        <bgColor rgb="FFDDDDDD"/>
      </patternFill>
    </fill>
    <fill>
      <patternFill patternType="solid">
        <fgColor rgb="FFFEF3C7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EF3C7"/>
      <rgbColor rgb="FFE5E7EB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D1FA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2400E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4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38"/>
    <col collapsed="false" customWidth="true" hidden="false" outlineLevel="0" max="8" min="8" style="0" width="30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36" hidden="false" customHeight="true" outlineLevel="0" collapsed="false">
      <c r="A5" s="4" t="s">
        <v>10</v>
      </c>
      <c r="B5" s="4" t="s">
        <v>11</v>
      </c>
      <c r="C5" s="5" t="s">
        <v>12</v>
      </c>
      <c r="D5" s="5" t="s">
        <v>13</v>
      </c>
      <c r="E5" s="6" t="s">
        <v>14</v>
      </c>
      <c r="F5" s="7" t="n">
        <v>1</v>
      </c>
      <c r="G5" s="4" t="s">
        <v>15</v>
      </c>
      <c r="H5" s="5" t="s">
        <v>16</v>
      </c>
    </row>
    <row r="6" customFormat="false" ht="36" hidden="false" customHeight="true" outlineLevel="0" collapsed="false">
      <c r="A6" s="4" t="s">
        <v>10</v>
      </c>
      <c r="B6" s="4" t="s">
        <v>17</v>
      </c>
      <c r="C6" s="5" t="s">
        <v>18</v>
      </c>
      <c r="D6" s="5" t="s">
        <v>19</v>
      </c>
      <c r="E6" s="6" t="s">
        <v>14</v>
      </c>
      <c r="F6" s="7" t="n">
        <v>1</v>
      </c>
      <c r="G6" s="4" t="s">
        <v>20</v>
      </c>
      <c r="H6" s="5" t="s">
        <v>21</v>
      </c>
    </row>
    <row r="7" customFormat="false" ht="36" hidden="false" customHeight="true" outlineLevel="0" collapsed="false">
      <c r="A7" s="4" t="s">
        <v>10</v>
      </c>
      <c r="B7" s="4" t="s">
        <v>22</v>
      </c>
      <c r="C7" s="5" t="s">
        <v>23</v>
      </c>
      <c r="D7" s="5" t="s">
        <v>24</v>
      </c>
      <c r="E7" s="6" t="s">
        <v>14</v>
      </c>
      <c r="F7" s="7" t="n">
        <v>1</v>
      </c>
      <c r="G7" s="4" t="s">
        <v>25</v>
      </c>
      <c r="H7" s="5" t="s">
        <v>26</v>
      </c>
    </row>
    <row r="8" customFormat="false" ht="36" hidden="false" customHeight="true" outlineLevel="0" collapsed="false">
      <c r="A8" s="4" t="s">
        <v>10</v>
      </c>
      <c r="B8" s="4" t="s">
        <v>27</v>
      </c>
      <c r="C8" s="5" t="s">
        <v>28</v>
      </c>
      <c r="D8" s="5" t="s">
        <v>29</v>
      </c>
      <c r="E8" s="6" t="s">
        <v>14</v>
      </c>
      <c r="F8" s="7" t="n">
        <v>1</v>
      </c>
      <c r="G8" s="4" t="s">
        <v>30</v>
      </c>
      <c r="H8" s="5" t="s">
        <v>31</v>
      </c>
    </row>
    <row r="9" customFormat="false" ht="36" hidden="false" customHeight="true" outlineLevel="0" collapsed="false">
      <c r="A9" s="4" t="s">
        <v>10</v>
      </c>
      <c r="B9" s="4" t="s">
        <v>32</v>
      </c>
      <c r="C9" s="5" t="s">
        <v>33</v>
      </c>
      <c r="D9" s="5" t="s">
        <v>34</v>
      </c>
      <c r="E9" s="6" t="s">
        <v>14</v>
      </c>
      <c r="F9" s="7" t="n">
        <v>1</v>
      </c>
      <c r="G9" s="4" t="s">
        <v>35</v>
      </c>
      <c r="H9" s="5" t="s">
        <v>36</v>
      </c>
    </row>
    <row r="10" customFormat="false" ht="36" hidden="false" customHeight="true" outlineLevel="0" collapsed="false">
      <c r="A10" s="4" t="s">
        <v>37</v>
      </c>
      <c r="B10" s="4" t="s">
        <v>22</v>
      </c>
      <c r="C10" s="5" t="s">
        <v>38</v>
      </c>
      <c r="D10" s="5" t="s">
        <v>39</v>
      </c>
      <c r="E10" s="6" t="s">
        <v>14</v>
      </c>
      <c r="F10" s="7" t="n">
        <v>1</v>
      </c>
      <c r="G10" s="4" t="s">
        <v>40</v>
      </c>
      <c r="H10" s="5" t="s">
        <v>41</v>
      </c>
    </row>
    <row r="11" customFormat="false" ht="36" hidden="false" customHeight="true" outlineLevel="0" collapsed="false">
      <c r="A11" s="4" t="s">
        <v>37</v>
      </c>
      <c r="B11" s="4" t="s">
        <v>42</v>
      </c>
      <c r="C11" s="5" t="s">
        <v>43</v>
      </c>
      <c r="D11" s="5" t="s">
        <v>44</v>
      </c>
      <c r="E11" s="6" t="s">
        <v>14</v>
      </c>
      <c r="F11" s="7" t="n">
        <v>1</v>
      </c>
      <c r="G11" s="4" t="s">
        <v>45</v>
      </c>
      <c r="H11" s="5" t="s">
        <v>46</v>
      </c>
    </row>
    <row r="12" customFormat="false" ht="36" hidden="false" customHeight="true" outlineLevel="0" collapsed="false">
      <c r="A12" s="4" t="s">
        <v>37</v>
      </c>
      <c r="B12" s="4" t="s">
        <v>42</v>
      </c>
      <c r="C12" s="5" t="s">
        <v>47</v>
      </c>
      <c r="D12" s="5" t="s">
        <v>48</v>
      </c>
      <c r="E12" s="6" t="s">
        <v>14</v>
      </c>
      <c r="F12" s="7" t="n">
        <v>1</v>
      </c>
      <c r="G12" s="4" t="s">
        <v>49</v>
      </c>
      <c r="H12" s="5" t="s">
        <v>50</v>
      </c>
    </row>
    <row r="13" customFormat="false" ht="36" hidden="false" customHeight="true" outlineLevel="0" collapsed="false">
      <c r="A13" s="4" t="s">
        <v>37</v>
      </c>
      <c r="B13" s="4" t="s">
        <v>42</v>
      </c>
      <c r="C13" s="5" t="s">
        <v>51</v>
      </c>
      <c r="D13" s="5" t="s">
        <v>52</v>
      </c>
      <c r="E13" s="6" t="s">
        <v>14</v>
      </c>
      <c r="F13" s="7" t="n">
        <v>1</v>
      </c>
      <c r="G13" s="4" t="s">
        <v>53</v>
      </c>
      <c r="H13" s="5" t="s">
        <v>54</v>
      </c>
    </row>
    <row r="14" customFormat="false" ht="36" hidden="false" customHeight="true" outlineLevel="0" collapsed="false">
      <c r="A14" s="4" t="s">
        <v>37</v>
      </c>
      <c r="B14" s="4" t="s">
        <v>42</v>
      </c>
      <c r="C14" s="5" t="s">
        <v>55</v>
      </c>
      <c r="D14" s="5" t="s">
        <v>56</v>
      </c>
      <c r="E14" s="6" t="s">
        <v>14</v>
      </c>
      <c r="F14" s="7" t="n">
        <v>1</v>
      </c>
      <c r="G14" s="4" t="s">
        <v>57</v>
      </c>
      <c r="H14" s="5" t="s">
        <v>58</v>
      </c>
    </row>
    <row r="15" customFormat="false" ht="36" hidden="false" customHeight="true" outlineLevel="0" collapsed="false">
      <c r="A15" s="4" t="s">
        <v>37</v>
      </c>
      <c r="B15" s="4" t="s">
        <v>22</v>
      </c>
      <c r="C15" s="5" t="s">
        <v>59</v>
      </c>
      <c r="D15" s="5" t="s">
        <v>60</v>
      </c>
      <c r="E15" s="6" t="s">
        <v>14</v>
      </c>
      <c r="F15" s="7" t="n">
        <v>1</v>
      </c>
      <c r="G15" s="4" t="s">
        <v>61</v>
      </c>
      <c r="H15" s="5" t="s">
        <v>62</v>
      </c>
    </row>
    <row r="16" customFormat="false" ht="36" hidden="false" customHeight="true" outlineLevel="0" collapsed="false">
      <c r="A16" s="4" t="s">
        <v>37</v>
      </c>
      <c r="B16" s="4" t="s">
        <v>63</v>
      </c>
      <c r="C16" s="5" t="s">
        <v>64</v>
      </c>
      <c r="D16" s="5" t="s">
        <v>65</v>
      </c>
      <c r="E16" s="6" t="s">
        <v>14</v>
      </c>
      <c r="F16" s="7" t="n">
        <v>1</v>
      </c>
      <c r="G16" s="4" t="s">
        <v>66</v>
      </c>
      <c r="H16" s="5" t="s">
        <v>67</v>
      </c>
    </row>
    <row r="17" customFormat="false" ht="36" hidden="false" customHeight="true" outlineLevel="0" collapsed="false">
      <c r="A17" s="4" t="s">
        <v>68</v>
      </c>
      <c r="B17" s="4" t="s">
        <v>69</v>
      </c>
      <c r="C17" s="5" t="s">
        <v>70</v>
      </c>
      <c r="D17" s="5" t="s">
        <v>71</v>
      </c>
      <c r="E17" s="6" t="s">
        <v>14</v>
      </c>
      <c r="F17" s="7" t="n">
        <v>1</v>
      </c>
      <c r="G17" s="4" t="s">
        <v>72</v>
      </c>
      <c r="H17" s="5" t="s">
        <v>73</v>
      </c>
    </row>
    <row r="18" customFormat="false" ht="36" hidden="false" customHeight="true" outlineLevel="0" collapsed="false">
      <c r="A18" s="4" t="s">
        <v>68</v>
      </c>
      <c r="B18" s="4" t="s">
        <v>69</v>
      </c>
      <c r="C18" s="5" t="s">
        <v>74</v>
      </c>
      <c r="D18" s="5" t="s">
        <v>75</v>
      </c>
      <c r="E18" s="6" t="s">
        <v>14</v>
      </c>
      <c r="F18" s="7" t="n">
        <v>1</v>
      </c>
      <c r="G18" s="4" t="s">
        <v>76</v>
      </c>
      <c r="H18" s="5" t="s">
        <v>77</v>
      </c>
    </row>
    <row r="19" customFormat="false" ht="36" hidden="false" customHeight="true" outlineLevel="0" collapsed="false">
      <c r="A19" s="4" t="s">
        <v>68</v>
      </c>
      <c r="B19" s="4" t="s">
        <v>69</v>
      </c>
      <c r="C19" s="5" t="s">
        <v>78</v>
      </c>
      <c r="D19" s="5" t="s">
        <v>79</v>
      </c>
      <c r="E19" s="6" t="s">
        <v>14</v>
      </c>
      <c r="F19" s="7" t="n">
        <v>1</v>
      </c>
      <c r="G19" s="4" t="s">
        <v>80</v>
      </c>
      <c r="H19" s="5" t="s">
        <v>81</v>
      </c>
    </row>
    <row r="20" customFormat="false" ht="36" hidden="false" customHeight="true" outlineLevel="0" collapsed="false">
      <c r="A20" s="4" t="s">
        <v>68</v>
      </c>
      <c r="B20" s="4" t="s">
        <v>27</v>
      </c>
      <c r="C20" s="5" t="s">
        <v>82</v>
      </c>
      <c r="D20" s="5" t="s">
        <v>83</v>
      </c>
      <c r="E20" s="6" t="s">
        <v>14</v>
      </c>
      <c r="F20" s="7" t="n">
        <v>1</v>
      </c>
      <c r="G20" s="4" t="s">
        <v>84</v>
      </c>
      <c r="H20" s="5" t="s">
        <v>85</v>
      </c>
    </row>
    <row r="21" customFormat="false" ht="36" hidden="false" customHeight="true" outlineLevel="0" collapsed="false">
      <c r="A21" s="4" t="s">
        <v>68</v>
      </c>
      <c r="B21" s="4" t="s">
        <v>27</v>
      </c>
      <c r="C21" s="5" t="s">
        <v>86</v>
      </c>
      <c r="D21" s="5" t="s">
        <v>87</v>
      </c>
      <c r="E21" s="6" t="s">
        <v>14</v>
      </c>
      <c r="F21" s="7" t="n">
        <v>1</v>
      </c>
      <c r="G21" s="4" t="s">
        <v>88</v>
      </c>
      <c r="H21" s="5" t="s">
        <v>89</v>
      </c>
    </row>
    <row r="22" customFormat="false" ht="36" hidden="false" customHeight="true" outlineLevel="0" collapsed="false">
      <c r="A22" s="4" t="s">
        <v>68</v>
      </c>
      <c r="B22" s="4" t="s">
        <v>32</v>
      </c>
      <c r="C22" s="5" t="s">
        <v>90</v>
      </c>
      <c r="D22" s="5" t="s">
        <v>91</v>
      </c>
      <c r="E22" s="6" t="s">
        <v>14</v>
      </c>
      <c r="F22" s="7" t="n">
        <v>1</v>
      </c>
      <c r="G22" s="4" t="s">
        <v>92</v>
      </c>
      <c r="H22" s="5" t="s">
        <v>93</v>
      </c>
    </row>
    <row r="23" customFormat="false" ht="36" hidden="false" customHeight="true" outlineLevel="0" collapsed="false">
      <c r="A23" s="4" t="s">
        <v>68</v>
      </c>
      <c r="B23" s="4" t="s">
        <v>32</v>
      </c>
      <c r="C23" s="5" t="s">
        <v>94</v>
      </c>
      <c r="D23" s="5" t="s">
        <v>95</v>
      </c>
      <c r="E23" s="6" t="s">
        <v>14</v>
      </c>
      <c r="F23" s="7" t="n">
        <v>1</v>
      </c>
      <c r="G23" s="4" t="s">
        <v>96</v>
      </c>
      <c r="H23" s="5" t="s">
        <v>97</v>
      </c>
    </row>
    <row r="24" customFormat="false" ht="36" hidden="false" customHeight="true" outlineLevel="0" collapsed="false">
      <c r="A24" s="4" t="s">
        <v>98</v>
      </c>
      <c r="B24" s="4" t="s">
        <v>99</v>
      </c>
      <c r="C24" s="5" t="s">
        <v>100</v>
      </c>
      <c r="D24" s="5" t="s">
        <v>101</v>
      </c>
      <c r="E24" s="6" t="s">
        <v>14</v>
      </c>
      <c r="F24" s="7" t="n">
        <v>1</v>
      </c>
      <c r="G24" s="4" t="s">
        <v>102</v>
      </c>
      <c r="H24" s="5" t="s">
        <v>103</v>
      </c>
    </row>
    <row r="25" customFormat="false" ht="36" hidden="false" customHeight="true" outlineLevel="0" collapsed="false">
      <c r="A25" s="4" t="s">
        <v>98</v>
      </c>
      <c r="B25" s="4" t="s">
        <v>99</v>
      </c>
      <c r="C25" s="5" t="s">
        <v>104</v>
      </c>
      <c r="D25" s="5" t="s">
        <v>105</v>
      </c>
      <c r="E25" s="6" t="s">
        <v>14</v>
      </c>
      <c r="F25" s="7" t="n">
        <v>1</v>
      </c>
      <c r="G25" s="4" t="s">
        <v>106</v>
      </c>
      <c r="H25" s="5" t="s">
        <v>107</v>
      </c>
    </row>
    <row r="26" customFormat="false" ht="36" hidden="false" customHeight="true" outlineLevel="0" collapsed="false">
      <c r="A26" s="4" t="s">
        <v>98</v>
      </c>
      <c r="B26" s="4" t="s">
        <v>99</v>
      </c>
      <c r="C26" s="5" t="s">
        <v>108</v>
      </c>
      <c r="D26" s="5" t="s">
        <v>109</v>
      </c>
      <c r="E26" s="6" t="s">
        <v>14</v>
      </c>
      <c r="F26" s="7" t="n">
        <v>1</v>
      </c>
      <c r="G26" s="4" t="s">
        <v>110</v>
      </c>
      <c r="H26" s="5" t="s">
        <v>111</v>
      </c>
    </row>
    <row r="27" customFormat="false" ht="36" hidden="false" customHeight="true" outlineLevel="0" collapsed="false">
      <c r="A27" s="4" t="s">
        <v>98</v>
      </c>
      <c r="B27" s="4" t="s">
        <v>112</v>
      </c>
      <c r="C27" s="5" t="s">
        <v>113</v>
      </c>
      <c r="D27" s="5" t="s">
        <v>114</v>
      </c>
      <c r="E27" s="6" t="s">
        <v>14</v>
      </c>
      <c r="F27" s="7" t="n">
        <v>1</v>
      </c>
      <c r="G27" s="4" t="s">
        <v>115</v>
      </c>
      <c r="H27" s="5" t="s">
        <v>116</v>
      </c>
    </row>
    <row r="28" customFormat="false" ht="36" hidden="false" customHeight="true" outlineLevel="0" collapsed="false">
      <c r="A28" s="4" t="s">
        <v>98</v>
      </c>
      <c r="B28" s="4" t="s">
        <v>117</v>
      </c>
      <c r="C28" s="5" t="s">
        <v>118</v>
      </c>
      <c r="D28" s="5" t="s">
        <v>119</v>
      </c>
      <c r="E28" s="6" t="s">
        <v>14</v>
      </c>
      <c r="F28" s="7" t="n">
        <v>1</v>
      </c>
      <c r="G28" s="4" t="s">
        <v>120</v>
      </c>
      <c r="H28" s="5" t="s">
        <v>121</v>
      </c>
    </row>
    <row r="29" customFormat="false" ht="36" hidden="false" customHeight="true" outlineLevel="0" collapsed="false">
      <c r="A29" s="4" t="s">
        <v>98</v>
      </c>
      <c r="B29" s="4" t="s">
        <v>122</v>
      </c>
      <c r="C29" s="5" t="s">
        <v>123</v>
      </c>
      <c r="D29" s="5" t="s">
        <v>124</v>
      </c>
      <c r="E29" s="6" t="s">
        <v>14</v>
      </c>
      <c r="F29" s="7" t="n">
        <v>1</v>
      </c>
      <c r="G29" s="4" t="s">
        <v>125</v>
      </c>
      <c r="H29" s="5" t="s">
        <v>126</v>
      </c>
    </row>
    <row r="30" customFormat="false" ht="36" hidden="false" customHeight="true" outlineLevel="0" collapsed="false">
      <c r="A30" s="4" t="s">
        <v>98</v>
      </c>
      <c r="B30" s="4" t="s">
        <v>127</v>
      </c>
      <c r="C30" s="5" t="s">
        <v>128</v>
      </c>
      <c r="D30" s="5" t="s">
        <v>129</v>
      </c>
      <c r="E30" s="8" t="s">
        <v>130</v>
      </c>
      <c r="F30" s="7" t="n">
        <v>0</v>
      </c>
      <c r="G30" s="4" t="s">
        <v>125</v>
      </c>
      <c r="H30" s="5" t="s">
        <v>131</v>
      </c>
    </row>
    <row r="31" customFormat="false" ht="36" hidden="false" customHeight="true" outlineLevel="0" collapsed="false">
      <c r="A31" s="4" t="s">
        <v>98</v>
      </c>
      <c r="B31" s="4" t="s">
        <v>127</v>
      </c>
      <c r="C31" s="5" t="s">
        <v>132</v>
      </c>
      <c r="D31" s="5" t="s">
        <v>133</v>
      </c>
      <c r="E31" s="8" t="s">
        <v>130</v>
      </c>
      <c r="F31" s="7" t="n">
        <v>0</v>
      </c>
      <c r="G31" s="4" t="s">
        <v>125</v>
      </c>
      <c r="H31" s="5" t="s">
        <v>134</v>
      </c>
    </row>
    <row r="32" customFormat="false" ht="36" hidden="false" customHeight="true" outlineLevel="0" collapsed="false">
      <c r="A32" s="4" t="s">
        <v>98</v>
      </c>
      <c r="B32" s="4" t="s">
        <v>127</v>
      </c>
      <c r="C32" s="5" t="s">
        <v>135</v>
      </c>
      <c r="D32" s="5" t="s">
        <v>136</v>
      </c>
      <c r="E32" s="8" t="s">
        <v>130</v>
      </c>
      <c r="F32" s="7" t="n">
        <v>0</v>
      </c>
      <c r="G32" s="4" t="s">
        <v>125</v>
      </c>
      <c r="H32" s="5" t="s">
        <v>137</v>
      </c>
    </row>
    <row r="33" customFormat="false" ht="36" hidden="false" customHeight="true" outlineLevel="0" collapsed="false">
      <c r="A33" s="4" t="s">
        <v>98</v>
      </c>
      <c r="B33" s="4" t="s">
        <v>138</v>
      </c>
      <c r="C33" s="5" t="s">
        <v>139</v>
      </c>
      <c r="D33" s="5" t="s">
        <v>140</v>
      </c>
      <c r="E33" s="9" t="s">
        <v>141</v>
      </c>
      <c r="F33" s="7" t="n">
        <v>0.25</v>
      </c>
      <c r="G33" s="4" t="s">
        <v>125</v>
      </c>
      <c r="H33" s="5" t="s">
        <v>142</v>
      </c>
    </row>
    <row r="35" customFormat="false" ht="15" hidden="false" customHeight="false" outlineLevel="0" collapsed="false">
      <c r="A35" s="10" t="s">
        <v>143</v>
      </c>
      <c r="D35" s="11" t="s">
        <v>14</v>
      </c>
      <c r="E35" s="11" t="n">
        <f aca="false">COUNTIF(E5:E33,"Erledigt")</f>
        <v>25</v>
      </c>
      <c r="F35" s="12" t="n">
        <f aca="false">AVERAGE(F5:F33)</f>
        <v>0.870689655172414</v>
      </c>
    </row>
  </sheetData>
  <mergeCells count="2">
    <mergeCell ref="A1:H1"/>
    <mergeCell ref="A2:H2"/>
  </mergeCells>
  <conditionalFormatting sqref="F5:F33">
    <cfRule type="dataBar" priority="2">
      <dataBar showValue="1" minLength="10" maxLength="90">
        <cfvo type="num" val="0"/>
        <cfvo type="num" val="1"/>
        <color rgb="FF0F766E"/>
      </dataBar>
      <extLst>
        <ext xmlns:x14="http://schemas.microsoft.com/office/spreadsheetml/2009/9/main" uri="{B025F937-C7B1-47D3-B67F-A62EFF666E3E}">
          <x14:id>{3810B5F6-A958-44D8-BCC0-1B40A05C5A36}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10B5F6-A958-44D8-BCC0-1B40A05C5A3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0F766E"/>
              <x14:axisColor rgb="FF000000"/>
            </x14:dataBar>
          </x14:cfRule>
          <xm:sqref>F5:F33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4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38"/>
    <col collapsed="false" customWidth="true" hidden="false" outlineLevel="0" max="8" min="8" style="0" width="30"/>
  </cols>
  <sheetData>
    <row r="1" customFormat="false" ht="19.7" hidden="false" customHeight="false" outlineLevel="0" collapsed="false">
      <c r="A1" s="1" t="s">
        <v>144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145</v>
      </c>
      <c r="B2" s="2"/>
      <c r="C2" s="2"/>
      <c r="D2" s="2"/>
      <c r="E2" s="2"/>
      <c r="F2" s="2"/>
      <c r="G2" s="2"/>
      <c r="H2" s="2"/>
    </row>
    <row r="4" customFormat="false" ht="27.75" hidden="false" customHeight="true" outlineLevel="0" collapsed="false">
      <c r="A4" s="3" t="s">
        <v>146</v>
      </c>
      <c r="B4" s="3" t="s">
        <v>147</v>
      </c>
      <c r="C4" s="3" t="s">
        <v>148</v>
      </c>
      <c r="D4" s="3" t="s">
        <v>149</v>
      </c>
      <c r="E4" s="3" t="s">
        <v>6</v>
      </c>
      <c r="F4" s="3" t="s">
        <v>150</v>
      </c>
      <c r="G4" s="3" t="s">
        <v>151</v>
      </c>
      <c r="H4" s="3" t="s">
        <v>152</v>
      </c>
    </row>
    <row r="5" customFormat="false" ht="36" hidden="false" customHeight="true" outlineLevel="0" collapsed="false">
      <c r="A5" s="4" t="s">
        <v>10</v>
      </c>
      <c r="B5" s="4" t="s">
        <v>11</v>
      </c>
      <c r="C5" s="5" t="s">
        <v>153</v>
      </c>
      <c r="D5" s="5" t="s">
        <v>154</v>
      </c>
      <c r="E5" s="6" t="s">
        <v>155</v>
      </c>
      <c r="F5" s="7" t="n">
        <v>1</v>
      </c>
      <c r="G5" s="4" t="s">
        <v>15</v>
      </c>
      <c r="H5" s="5" t="s">
        <v>156</v>
      </c>
    </row>
    <row r="6" customFormat="false" ht="36" hidden="false" customHeight="true" outlineLevel="0" collapsed="false">
      <c r="A6" s="4" t="s">
        <v>10</v>
      </c>
      <c r="B6" s="4" t="s">
        <v>17</v>
      </c>
      <c r="C6" s="5" t="s">
        <v>157</v>
      </c>
      <c r="D6" s="5" t="s">
        <v>158</v>
      </c>
      <c r="E6" s="6" t="s">
        <v>155</v>
      </c>
      <c r="F6" s="7" t="n">
        <v>1</v>
      </c>
      <c r="G6" s="4" t="s">
        <v>20</v>
      </c>
      <c r="H6" s="5" t="s">
        <v>159</v>
      </c>
    </row>
    <row r="7" customFormat="false" ht="36" hidden="false" customHeight="true" outlineLevel="0" collapsed="false">
      <c r="A7" s="4" t="s">
        <v>10</v>
      </c>
      <c r="B7" s="4" t="s">
        <v>22</v>
      </c>
      <c r="C7" s="5" t="s">
        <v>160</v>
      </c>
      <c r="D7" s="5" t="s">
        <v>161</v>
      </c>
      <c r="E7" s="6" t="s">
        <v>155</v>
      </c>
      <c r="F7" s="7" t="n">
        <v>1</v>
      </c>
      <c r="G7" s="4" t="s">
        <v>25</v>
      </c>
      <c r="H7" s="5" t="s">
        <v>162</v>
      </c>
    </row>
    <row r="8" customFormat="false" ht="36" hidden="false" customHeight="true" outlineLevel="0" collapsed="false">
      <c r="A8" s="4" t="s">
        <v>10</v>
      </c>
      <c r="B8" s="4" t="s">
        <v>27</v>
      </c>
      <c r="C8" s="5" t="s">
        <v>163</v>
      </c>
      <c r="D8" s="5" t="s">
        <v>164</v>
      </c>
      <c r="E8" s="6" t="s">
        <v>155</v>
      </c>
      <c r="F8" s="7" t="n">
        <v>1</v>
      </c>
      <c r="G8" s="4" t="s">
        <v>30</v>
      </c>
      <c r="H8" s="5" t="s">
        <v>165</v>
      </c>
    </row>
    <row r="9" customFormat="false" ht="36" hidden="false" customHeight="true" outlineLevel="0" collapsed="false">
      <c r="A9" s="4" t="s">
        <v>10</v>
      </c>
      <c r="B9" s="4" t="s">
        <v>32</v>
      </c>
      <c r="C9" s="5" t="s">
        <v>166</v>
      </c>
      <c r="D9" s="5" t="s">
        <v>167</v>
      </c>
      <c r="E9" s="6" t="s">
        <v>155</v>
      </c>
      <c r="F9" s="7" t="n">
        <v>1</v>
      </c>
      <c r="G9" s="4" t="s">
        <v>35</v>
      </c>
      <c r="H9" s="5" t="s">
        <v>168</v>
      </c>
    </row>
    <row r="10" customFormat="false" ht="36" hidden="false" customHeight="true" outlineLevel="0" collapsed="false">
      <c r="A10" s="4" t="s">
        <v>37</v>
      </c>
      <c r="B10" s="4" t="s">
        <v>22</v>
      </c>
      <c r="C10" s="5" t="s">
        <v>169</v>
      </c>
      <c r="D10" s="5" t="s">
        <v>170</v>
      </c>
      <c r="E10" s="6" t="s">
        <v>155</v>
      </c>
      <c r="F10" s="7" t="n">
        <v>1</v>
      </c>
      <c r="G10" s="4" t="s">
        <v>40</v>
      </c>
      <c r="H10" s="5" t="s">
        <v>171</v>
      </c>
    </row>
    <row r="11" customFormat="false" ht="36" hidden="false" customHeight="true" outlineLevel="0" collapsed="false">
      <c r="A11" s="4" t="s">
        <v>37</v>
      </c>
      <c r="B11" s="4" t="s">
        <v>42</v>
      </c>
      <c r="C11" s="5" t="s">
        <v>172</v>
      </c>
      <c r="D11" s="5" t="s">
        <v>173</v>
      </c>
      <c r="E11" s="6" t="s">
        <v>155</v>
      </c>
      <c r="F11" s="7" t="n">
        <v>1</v>
      </c>
      <c r="G11" s="4" t="s">
        <v>45</v>
      </c>
      <c r="H11" s="5" t="s">
        <v>174</v>
      </c>
    </row>
    <row r="12" customFormat="false" ht="36" hidden="false" customHeight="true" outlineLevel="0" collapsed="false">
      <c r="A12" s="4" t="s">
        <v>37</v>
      </c>
      <c r="B12" s="4" t="s">
        <v>42</v>
      </c>
      <c r="C12" s="5" t="s">
        <v>175</v>
      </c>
      <c r="D12" s="5" t="s">
        <v>176</v>
      </c>
      <c r="E12" s="6" t="s">
        <v>155</v>
      </c>
      <c r="F12" s="7" t="n">
        <v>1</v>
      </c>
      <c r="G12" s="4" t="s">
        <v>49</v>
      </c>
      <c r="H12" s="5" t="s">
        <v>177</v>
      </c>
    </row>
    <row r="13" customFormat="false" ht="36" hidden="false" customHeight="true" outlineLevel="0" collapsed="false">
      <c r="A13" s="4" t="s">
        <v>37</v>
      </c>
      <c r="B13" s="4" t="s">
        <v>42</v>
      </c>
      <c r="C13" s="5" t="s">
        <v>178</v>
      </c>
      <c r="D13" s="5" t="s">
        <v>179</v>
      </c>
      <c r="E13" s="6" t="s">
        <v>155</v>
      </c>
      <c r="F13" s="7" t="n">
        <v>1</v>
      </c>
      <c r="G13" s="4" t="s">
        <v>53</v>
      </c>
      <c r="H13" s="5" t="s">
        <v>180</v>
      </c>
    </row>
    <row r="14" customFormat="false" ht="36" hidden="false" customHeight="true" outlineLevel="0" collapsed="false">
      <c r="A14" s="4" t="s">
        <v>37</v>
      </c>
      <c r="B14" s="4" t="s">
        <v>42</v>
      </c>
      <c r="C14" s="5" t="s">
        <v>181</v>
      </c>
      <c r="D14" s="5" t="s">
        <v>182</v>
      </c>
      <c r="E14" s="6" t="s">
        <v>155</v>
      </c>
      <c r="F14" s="7" t="n">
        <v>1</v>
      </c>
      <c r="G14" s="4" t="s">
        <v>57</v>
      </c>
      <c r="H14" s="5" t="s">
        <v>183</v>
      </c>
    </row>
    <row r="15" customFormat="false" ht="36" hidden="false" customHeight="true" outlineLevel="0" collapsed="false">
      <c r="A15" s="4" t="s">
        <v>37</v>
      </c>
      <c r="B15" s="4" t="s">
        <v>22</v>
      </c>
      <c r="C15" s="5" t="s">
        <v>184</v>
      </c>
      <c r="D15" s="5" t="s">
        <v>185</v>
      </c>
      <c r="E15" s="6" t="s">
        <v>155</v>
      </c>
      <c r="F15" s="7" t="n">
        <v>1</v>
      </c>
      <c r="G15" s="4" t="s">
        <v>61</v>
      </c>
      <c r="H15" s="5" t="s">
        <v>186</v>
      </c>
    </row>
    <row r="16" customFormat="false" ht="36" hidden="false" customHeight="true" outlineLevel="0" collapsed="false">
      <c r="A16" s="4" t="s">
        <v>37</v>
      </c>
      <c r="B16" s="4" t="s">
        <v>63</v>
      </c>
      <c r="C16" s="5" t="s">
        <v>187</v>
      </c>
      <c r="D16" s="5" t="s">
        <v>188</v>
      </c>
      <c r="E16" s="6" t="s">
        <v>155</v>
      </c>
      <c r="F16" s="7" t="n">
        <v>1</v>
      </c>
      <c r="G16" s="4" t="s">
        <v>66</v>
      </c>
      <c r="H16" s="5" t="s">
        <v>189</v>
      </c>
    </row>
    <row r="17" customFormat="false" ht="36" hidden="false" customHeight="true" outlineLevel="0" collapsed="false">
      <c r="A17" s="4" t="s">
        <v>68</v>
      </c>
      <c r="B17" s="4" t="s">
        <v>69</v>
      </c>
      <c r="C17" s="5" t="s">
        <v>190</v>
      </c>
      <c r="D17" s="5" t="s">
        <v>191</v>
      </c>
      <c r="E17" s="6" t="s">
        <v>155</v>
      </c>
      <c r="F17" s="7" t="n">
        <v>1</v>
      </c>
      <c r="G17" s="4" t="s">
        <v>72</v>
      </c>
      <c r="H17" s="5" t="s">
        <v>192</v>
      </c>
    </row>
    <row r="18" customFormat="false" ht="36" hidden="false" customHeight="true" outlineLevel="0" collapsed="false">
      <c r="A18" s="4" t="s">
        <v>68</v>
      </c>
      <c r="B18" s="4" t="s">
        <v>69</v>
      </c>
      <c r="C18" s="5" t="s">
        <v>193</v>
      </c>
      <c r="D18" s="5" t="s">
        <v>194</v>
      </c>
      <c r="E18" s="6" t="s">
        <v>155</v>
      </c>
      <c r="F18" s="7" t="n">
        <v>1</v>
      </c>
      <c r="G18" s="4" t="s">
        <v>76</v>
      </c>
      <c r="H18" s="5" t="s">
        <v>195</v>
      </c>
    </row>
    <row r="19" customFormat="false" ht="36" hidden="false" customHeight="true" outlineLevel="0" collapsed="false">
      <c r="A19" s="4" t="s">
        <v>68</v>
      </c>
      <c r="B19" s="4" t="s">
        <v>69</v>
      </c>
      <c r="C19" s="5" t="s">
        <v>196</v>
      </c>
      <c r="D19" s="5" t="s">
        <v>197</v>
      </c>
      <c r="E19" s="6" t="s">
        <v>155</v>
      </c>
      <c r="F19" s="7" t="n">
        <v>1</v>
      </c>
      <c r="G19" s="4" t="s">
        <v>80</v>
      </c>
      <c r="H19" s="5" t="s">
        <v>198</v>
      </c>
    </row>
    <row r="20" customFormat="false" ht="36" hidden="false" customHeight="true" outlineLevel="0" collapsed="false">
      <c r="A20" s="4" t="s">
        <v>68</v>
      </c>
      <c r="B20" s="4" t="s">
        <v>27</v>
      </c>
      <c r="C20" s="5" t="s">
        <v>199</v>
      </c>
      <c r="D20" s="5" t="s">
        <v>200</v>
      </c>
      <c r="E20" s="6" t="s">
        <v>155</v>
      </c>
      <c r="F20" s="7" t="n">
        <v>1</v>
      </c>
      <c r="G20" s="4" t="s">
        <v>84</v>
      </c>
      <c r="H20" s="5" t="s">
        <v>201</v>
      </c>
    </row>
    <row r="21" customFormat="false" ht="36" hidden="false" customHeight="true" outlineLevel="0" collapsed="false">
      <c r="A21" s="4" t="s">
        <v>68</v>
      </c>
      <c r="B21" s="4" t="s">
        <v>27</v>
      </c>
      <c r="C21" s="5" t="s">
        <v>202</v>
      </c>
      <c r="D21" s="5" t="s">
        <v>203</v>
      </c>
      <c r="E21" s="6" t="s">
        <v>155</v>
      </c>
      <c r="F21" s="7" t="n">
        <v>1</v>
      </c>
      <c r="G21" s="4" t="s">
        <v>88</v>
      </c>
      <c r="H21" s="5" t="s">
        <v>204</v>
      </c>
    </row>
    <row r="22" customFormat="false" ht="36" hidden="false" customHeight="true" outlineLevel="0" collapsed="false">
      <c r="A22" s="4" t="s">
        <v>68</v>
      </c>
      <c r="B22" s="4" t="s">
        <v>32</v>
      </c>
      <c r="C22" s="5" t="s">
        <v>205</v>
      </c>
      <c r="D22" s="5" t="s">
        <v>206</v>
      </c>
      <c r="E22" s="6" t="s">
        <v>155</v>
      </c>
      <c r="F22" s="7" t="n">
        <v>1</v>
      </c>
      <c r="G22" s="4" t="s">
        <v>92</v>
      </c>
      <c r="H22" s="5" t="s">
        <v>207</v>
      </c>
    </row>
    <row r="23" customFormat="false" ht="36" hidden="false" customHeight="true" outlineLevel="0" collapsed="false">
      <c r="A23" s="4" t="s">
        <v>68</v>
      </c>
      <c r="B23" s="4" t="s">
        <v>32</v>
      </c>
      <c r="C23" s="5" t="s">
        <v>208</v>
      </c>
      <c r="D23" s="5" t="s">
        <v>209</v>
      </c>
      <c r="E23" s="6" t="s">
        <v>155</v>
      </c>
      <c r="F23" s="7" t="n">
        <v>1</v>
      </c>
      <c r="G23" s="4" t="s">
        <v>96</v>
      </c>
      <c r="H23" s="5" t="s">
        <v>210</v>
      </c>
    </row>
    <row r="24" customFormat="false" ht="36" hidden="false" customHeight="true" outlineLevel="0" collapsed="false">
      <c r="A24" s="4" t="s">
        <v>98</v>
      </c>
      <c r="B24" s="4" t="s">
        <v>99</v>
      </c>
      <c r="C24" s="5" t="s">
        <v>211</v>
      </c>
      <c r="D24" s="5" t="s">
        <v>212</v>
      </c>
      <c r="E24" s="6" t="s">
        <v>155</v>
      </c>
      <c r="F24" s="7" t="n">
        <v>1</v>
      </c>
      <c r="G24" s="4" t="s">
        <v>102</v>
      </c>
      <c r="H24" s="5" t="s">
        <v>213</v>
      </c>
    </row>
    <row r="25" customFormat="false" ht="36" hidden="false" customHeight="true" outlineLevel="0" collapsed="false">
      <c r="A25" s="4" t="s">
        <v>98</v>
      </c>
      <c r="B25" s="4" t="s">
        <v>99</v>
      </c>
      <c r="C25" s="5" t="s">
        <v>214</v>
      </c>
      <c r="D25" s="5" t="s">
        <v>215</v>
      </c>
      <c r="E25" s="6" t="s">
        <v>155</v>
      </c>
      <c r="F25" s="7" t="n">
        <v>1</v>
      </c>
      <c r="G25" s="4" t="s">
        <v>106</v>
      </c>
      <c r="H25" s="5" t="s">
        <v>216</v>
      </c>
    </row>
    <row r="26" customFormat="false" ht="36" hidden="false" customHeight="true" outlineLevel="0" collapsed="false">
      <c r="A26" s="4" t="s">
        <v>98</v>
      </c>
      <c r="B26" s="4" t="s">
        <v>99</v>
      </c>
      <c r="C26" s="5" t="s">
        <v>217</v>
      </c>
      <c r="D26" s="5" t="s">
        <v>218</v>
      </c>
      <c r="E26" s="6" t="s">
        <v>155</v>
      </c>
      <c r="F26" s="7" t="n">
        <v>1</v>
      </c>
      <c r="G26" s="4" t="s">
        <v>110</v>
      </c>
      <c r="H26" s="5" t="s">
        <v>219</v>
      </c>
    </row>
    <row r="27" customFormat="false" ht="36" hidden="false" customHeight="true" outlineLevel="0" collapsed="false">
      <c r="A27" s="4" t="s">
        <v>98</v>
      </c>
      <c r="B27" s="4" t="s">
        <v>112</v>
      </c>
      <c r="C27" s="5" t="s">
        <v>220</v>
      </c>
      <c r="D27" s="5" t="s">
        <v>114</v>
      </c>
      <c r="E27" s="6" t="s">
        <v>155</v>
      </c>
      <c r="F27" s="7" t="n">
        <v>1</v>
      </c>
      <c r="G27" s="4" t="s">
        <v>115</v>
      </c>
      <c r="H27" s="5" t="s">
        <v>221</v>
      </c>
    </row>
    <row r="28" customFormat="false" ht="36" hidden="false" customHeight="true" outlineLevel="0" collapsed="false">
      <c r="A28" s="4" t="s">
        <v>98</v>
      </c>
      <c r="B28" s="4" t="s">
        <v>117</v>
      </c>
      <c r="C28" s="5" t="s">
        <v>222</v>
      </c>
      <c r="D28" s="5" t="s">
        <v>223</v>
      </c>
      <c r="E28" s="6" t="s">
        <v>155</v>
      </c>
      <c r="F28" s="7" t="n">
        <v>1</v>
      </c>
      <c r="G28" s="4" t="s">
        <v>120</v>
      </c>
      <c r="H28" s="5" t="s">
        <v>224</v>
      </c>
    </row>
    <row r="29" customFormat="false" ht="36" hidden="false" customHeight="true" outlineLevel="0" collapsed="false">
      <c r="A29" s="4" t="s">
        <v>98</v>
      </c>
      <c r="B29" s="4" t="s">
        <v>122</v>
      </c>
      <c r="C29" s="5" t="s">
        <v>225</v>
      </c>
      <c r="D29" s="5" t="s">
        <v>226</v>
      </c>
      <c r="E29" s="6" t="s">
        <v>155</v>
      </c>
      <c r="F29" s="7" t="n">
        <v>1</v>
      </c>
      <c r="G29" s="4" t="s">
        <v>125</v>
      </c>
      <c r="H29" s="5" t="s">
        <v>227</v>
      </c>
    </row>
    <row r="30" customFormat="false" ht="36" hidden="false" customHeight="true" outlineLevel="0" collapsed="false">
      <c r="A30" s="4" t="s">
        <v>98</v>
      </c>
      <c r="B30" s="4" t="s">
        <v>127</v>
      </c>
      <c r="C30" s="5" t="s">
        <v>128</v>
      </c>
      <c r="D30" s="5" t="s">
        <v>228</v>
      </c>
      <c r="E30" s="8" t="s">
        <v>229</v>
      </c>
      <c r="F30" s="7" t="n">
        <v>0</v>
      </c>
      <c r="G30" s="4" t="s">
        <v>125</v>
      </c>
      <c r="H30" s="5" t="s">
        <v>230</v>
      </c>
    </row>
    <row r="31" customFormat="false" ht="36" hidden="false" customHeight="true" outlineLevel="0" collapsed="false">
      <c r="A31" s="4" t="s">
        <v>98</v>
      </c>
      <c r="B31" s="4" t="s">
        <v>127</v>
      </c>
      <c r="C31" s="5" t="s">
        <v>231</v>
      </c>
      <c r="D31" s="5" t="s">
        <v>232</v>
      </c>
      <c r="E31" s="8" t="s">
        <v>229</v>
      </c>
      <c r="F31" s="7" t="n">
        <v>0</v>
      </c>
      <c r="G31" s="4" t="s">
        <v>125</v>
      </c>
      <c r="H31" s="5" t="s">
        <v>233</v>
      </c>
    </row>
    <row r="32" customFormat="false" ht="36" hidden="false" customHeight="true" outlineLevel="0" collapsed="false">
      <c r="A32" s="4" t="s">
        <v>98</v>
      </c>
      <c r="B32" s="4" t="s">
        <v>127</v>
      </c>
      <c r="C32" s="5" t="s">
        <v>234</v>
      </c>
      <c r="D32" s="5" t="s">
        <v>235</v>
      </c>
      <c r="E32" s="8" t="s">
        <v>229</v>
      </c>
      <c r="F32" s="7" t="n">
        <v>0</v>
      </c>
      <c r="G32" s="4" t="s">
        <v>125</v>
      </c>
      <c r="H32" s="5" t="s">
        <v>236</v>
      </c>
    </row>
    <row r="33" customFormat="false" ht="36" hidden="false" customHeight="true" outlineLevel="0" collapsed="false">
      <c r="A33" s="4" t="s">
        <v>98</v>
      </c>
      <c r="B33" s="4" t="s">
        <v>138</v>
      </c>
      <c r="C33" s="5" t="s">
        <v>237</v>
      </c>
      <c r="D33" s="5" t="s">
        <v>238</v>
      </c>
      <c r="E33" s="9" t="s">
        <v>239</v>
      </c>
      <c r="F33" s="7" t="n">
        <v>0.25</v>
      </c>
      <c r="G33" s="4" t="s">
        <v>125</v>
      </c>
      <c r="H33" s="5" t="s">
        <v>240</v>
      </c>
    </row>
    <row r="35" customFormat="false" ht="15" hidden="false" customHeight="false" outlineLevel="0" collapsed="false">
      <c r="A35" s="10" t="s">
        <v>241</v>
      </c>
      <c r="D35" s="11" t="s">
        <v>155</v>
      </c>
      <c r="E35" s="11" t="n">
        <f aca="false">COUNTIF(E5:E33,"Done")</f>
        <v>25</v>
      </c>
      <c r="F35" s="12" t="n">
        <f aca="false">AVERAGE(F5:F33)</f>
        <v>0.870689655172414</v>
      </c>
    </row>
  </sheetData>
  <mergeCells count="2">
    <mergeCell ref="A1:H1"/>
    <mergeCell ref="A2:H2"/>
  </mergeCells>
  <conditionalFormatting sqref="F5:F33">
    <cfRule type="dataBar" priority="2">
      <dataBar showValue="1" minLength="10" maxLength="90">
        <cfvo type="num" val="0"/>
        <cfvo type="num" val="1"/>
        <color rgb="FF0F766E"/>
      </dataBar>
      <extLst>
        <ext xmlns:x14="http://schemas.microsoft.com/office/spreadsheetml/2009/9/main" uri="{B025F937-C7B1-47D3-B67F-A62EFF666E3E}">
          <x14:id>{2028C8B7-A9DB-477C-ACDE-6A28F87E4826}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28C8B7-A9DB-477C-ACDE-6A28F87E482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0F766E"/>
              <x14:axisColor rgb="FF000000"/>
            </x14:dataBar>
          </x14:cfRule>
          <xm:sqref>F5:F33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2026-05-08T19:26:04Z</dcterms:created>
  <dc:creator>openpyxl</dc:creator>
  <dc:description/>
  <dc:language>en-US</dc:language>
  <cp:lastModifiedBy/>
  <dcterms:modified xsi:type="dcterms:W3CDTF">2026-05-08T19:26:04Z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